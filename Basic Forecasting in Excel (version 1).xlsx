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Documents\"/>
    </mc:Choice>
  </mc:AlternateContent>
  <xr:revisionPtr revIDLastSave="0" documentId="13_ncr:1_{5D8A1960-30EB-4BAB-B95F-A6D47BD28EA5}" xr6:coauthVersionLast="47" xr6:coauthVersionMax="47" xr10:uidLastSave="{00000000-0000-0000-0000-000000000000}"/>
  <bookViews>
    <workbookView xWindow="3900" yWindow="3900" windowWidth="28800" windowHeight="15345" xr2:uid="{00000000-000D-0000-FFFF-FFFF00000000}"/>
  </bookViews>
  <sheets>
    <sheet name="SLOPE INTERCEPT" sheetId="1" r:id="rId1"/>
    <sheet name="FORECAST.LINEAR" sheetId="2" r:id="rId2"/>
    <sheet name="FORECAST NAMED RANGE" sheetId="9" r:id="rId3"/>
    <sheet name="TREND" sheetId="3" r:id="rId4"/>
    <sheet name="ARRAY" sheetId="7" r:id="rId5"/>
    <sheet name="ONE-CLICK FORECASTING" sheetId="4" r:id="rId6"/>
  </sheets>
  <definedNames>
    <definedName name="Answer">'SLOPE INTERCEPT'!$D$18</definedName>
    <definedName name="Known_Ys">'FORECAST NAMED RANGE'!$D$5:$D$22</definedName>
    <definedName name="Sales_Data">'FORECAST NAMED RANGE'!$D$5:$D$22</definedName>
    <definedName name="Sales_Date">'FORECAST NAMED RANGE'!$C$5:$C$22</definedName>
    <definedName name="Solve">'SLOPE INTERCEPT'!$C$18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8" i="3" l="1" a="1"/>
  <c r="D18" i="3" s="1"/>
  <c r="D17" i="3" a="1"/>
  <c r="D17" i="3" s="1"/>
  <c r="D25" i="9"/>
  <c r="D26" i="9" s="1"/>
  <c r="D24" i="9"/>
  <c r="D23" i="9"/>
  <c r="D18" i="2"/>
  <c r="D19" i="2" s="1"/>
  <c r="D17" i="2"/>
  <c r="D19" i="1"/>
  <c r="D20" i="1"/>
  <c r="D21" i="1"/>
  <c r="D22" i="1"/>
  <c r="D23" i="1"/>
  <c r="D24" i="1"/>
  <c r="D25" i="1"/>
  <c r="D26" i="1"/>
  <c r="D27" i="1"/>
  <c r="D28" i="1"/>
  <c r="D29" i="1"/>
  <c r="D30" i="1"/>
  <c r="D18" i="1"/>
  <c r="G9" i="1"/>
  <c r="G8" i="1"/>
  <c r="F6" i="7"/>
  <c r="F7" i="7"/>
  <c r="F8" i="7"/>
  <c r="F9" i="7"/>
  <c r="F10" i="7"/>
  <c r="F5" i="7"/>
  <c r="F11" i="7" s="1"/>
  <c r="D19" i="3" l="1" a="1"/>
  <c r="D19" i="3" s="1"/>
  <c r="D20" i="3" s="1" a="1"/>
  <c r="D20" i="3" s="1"/>
  <c r="D27" i="9"/>
  <c r="D21" i="2"/>
  <c r="D20" i="2"/>
  <c r="D21" i="3" l="1" a="1"/>
  <c r="D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<sst xmlns="http://schemas.openxmlformats.org/spreadsheetml/2006/main" count="32" uniqueCount="25">
  <si>
    <t>x</t>
  </si>
  <si>
    <t>y</t>
  </si>
  <si>
    <t>Date</t>
  </si>
  <si>
    <t>Sales</t>
  </si>
  <si>
    <t>FORECASTING USING SLOPE AND INTERCEPT FUNCTIONS</t>
  </si>
  <si>
    <t>FORECAST FUNCTIONS</t>
  </si>
  <si>
    <t>THE TREND FUNCTION FOR FORECASTING</t>
  </si>
  <si>
    <t>ONE-CLICK FORECASTING (FORECAST SHEETS)</t>
  </si>
  <si>
    <t>Product</t>
  </si>
  <si>
    <t>Apples</t>
  </si>
  <si>
    <t>Bananas</t>
  </si>
  <si>
    <t>Pears</t>
  </si>
  <si>
    <t>Oranges</t>
  </si>
  <si>
    <t>Peaches</t>
  </si>
  <si>
    <t>Grapes</t>
  </si>
  <si>
    <t>Amount Sold</t>
  </si>
  <si>
    <t>Price</t>
  </si>
  <si>
    <t>Total</t>
  </si>
  <si>
    <t>AN EXAMPLE OF AN ARRAY FORMULA</t>
  </si>
  <si>
    <t>FORECAST FUNCTIONS CHART WITH NAMED RANGES</t>
  </si>
  <si>
    <t>y=mx+b</t>
  </si>
  <si>
    <t>m</t>
  </si>
  <si>
    <t>c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</si>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</sst>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vertical="center"/>
    </xf>
    <xf numFmtId="1" fontId="3" fillId="0" borderId="0" xfId="0" applyNumberFormat="1" applyFont="1" applyAlignment="1">
      <alignment horizont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3" fillId="0" borderId="0" xfId="0" applyFont="1"/>
    <xf numFmtId="1" fontId="3" fillId="0" borderId="0" xfId="0" applyNumberFormat="1" applyFont="1"/>
    <xf numFmtId="0" fontId="3" fillId="0" borderId="0" xfId="0" applyFont="1" applyAlignment="1">
      <alignment horizontal="right"/>
    </xf>
    <xf numFmtId="44" fontId="3" fillId="0" borderId="0" xfId="1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65" fontId="4" fillId="0" borderId="1" xfId="1" applyNumberFormat="1" applyFont="1" applyBorder="1" applyAlignment="1">
      <alignment horizontal="center"/>
    </xf>
    <xf numFmtId="164" fontId="0" fillId="0" borderId="0" xfId="1" applyNumberFormat="1" applyFont="1"/>
    <xf numFmtId="164" fontId="0" fillId="0" borderId="0" xfId="0" applyNumberFormat="1" applyAlignment="1">
      <alignment horizontal="right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EAC8D92E-7CAC-402A-B916-BE07047616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Normal="100" workbookViewId="0">
      <selection activeCell="D30" sqref="D30"/>
    </sheetView>
  </sheetViews>
  <sheetFormatPr defaultRowHeight="18.75" x14ac:dyDescent="0.3"/>
  <cols>
    <col min="1" max="1" width="2.28515625" customWidth="1"/>
    <col min="2" max="2" width="9.140625" style="1"/>
    <col min="3" max="3" width="13.140625" style="7" customWidth="1"/>
    <col min="4" max="4" width="13.140625" style="13" customWidth="1"/>
    <col min="5" max="5" width="16.5703125" customWidth="1"/>
  </cols>
  <sheetData>
    <row r="1" spans="1:7" s="8" customFormat="1" ht="32.450000000000003" customHeight="1" x14ac:dyDescent="0.25">
      <c r="A1" s="8" t="s">
        <v>4</v>
      </c>
      <c r="C1" s="5"/>
      <c r="D1" s="5"/>
    </row>
    <row r="5" spans="1:7" x14ac:dyDescent="0.3">
      <c r="C5" s="24" t="s">
        <v>0</v>
      </c>
      <c r="D5" s="24" t="s">
        <v>1</v>
      </c>
      <c r="F5" s="13" t="s">
        <v>20</v>
      </c>
    </row>
    <row r="6" spans="1:7" x14ac:dyDescent="0.3">
      <c r="C6" s="7">
        <v>1</v>
      </c>
      <c r="D6" s="15">
        <v>92</v>
      </c>
    </row>
    <row r="7" spans="1:7" x14ac:dyDescent="0.3">
      <c r="C7" s="7">
        <v>2</v>
      </c>
      <c r="D7" s="15">
        <v>93</v>
      </c>
    </row>
    <row r="8" spans="1:7" x14ac:dyDescent="0.3">
      <c r="C8" s="7">
        <v>3</v>
      </c>
      <c r="D8" s="15">
        <v>91</v>
      </c>
      <c r="F8" t="s">
        <v>21</v>
      </c>
      <c r="G8">
        <f>SLOPE(D6:D17,C6:C17)</f>
        <v>2.9545454545454546</v>
      </c>
    </row>
    <row r="9" spans="1:7" x14ac:dyDescent="0.3">
      <c r="C9" s="7">
        <v>4</v>
      </c>
      <c r="D9" s="15">
        <v>103</v>
      </c>
      <c r="F9" t="s">
        <v>22</v>
      </c>
      <c r="G9">
        <f>INTERCEPT(D6:D17,C6:C17)</f>
        <v>89.045454545454547</v>
      </c>
    </row>
    <row r="10" spans="1:7" x14ac:dyDescent="0.3">
      <c r="C10" s="7">
        <v>5</v>
      </c>
      <c r="D10" s="15">
        <v>107</v>
      </c>
    </row>
    <row r="11" spans="1:7" x14ac:dyDescent="0.3">
      <c r="C11" s="7">
        <v>6</v>
      </c>
      <c r="D11" s="15">
        <v>109</v>
      </c>
    </row>
    <row r="12" spans="1:7" x14ac:dyDescent="0.3">
      <c r="C12" s="7">
        <v>7</v>
      </c>
      <c r="D12" s="15">
        <v>116</v>
      </c>
    </row>
    <row r="13" spans="1:7" x14ac:dyDescent="0.3">
      <c r="C13" s="7">
        <v>8</v>
      </c>
      <c r="D13" s="15">
        <v>114</v>
      </c>
    </row>
    <row r="14" spans="1:7" x14ac:dyDescent="0.3">
      <c r="C14" s="7">
        <v>9</v>
      </c>
      <c r="D14" s="15">
        <v>113</v>
      </c>
    </row>
    <row r="15" spans="1:7" x14ac:dyDescent="0.3">
      <c r="C15" s="7">
        <v>10</v>
      </c>
      <c r="D15" s="15">
        <v>121</v>
      </c>
    </row>
    <row r="16" spans="1:7" x14ac:dyDescent="0.3">
      <c r="C16" s="7">
        <v>11</v>
      </c>
      <c r="D16" s="15">
        <v>117</v>
      </c>
    </row>
    <row r="17" spans="3:4" x14ac:dyDescent="0.3">
      <c r="C17" s="7">
        <v>12</v>
      </c>
      <c r="D17" s="15">
        <v>123</v>
      </c>
    </row>
    <row r="18" spans="3:4" x14ac:dyDescent="0.3">
      <c r="C18" s="9">
        <v>13</v>
      </c>
      <c r="D18" s="14">
        <f>(G$8*C18)+G$9</f>
        <v>127.45454545454545</v>
      </c>
    </row>
    <row r="19" spans="3:4" x14ac:dyDescent="0.3">
      <c r="C19" s="7">
        <v>14</v>
      </c>
      <c r="D19" s="14">
        <f t="shared" ref="D19:D30" si="0">(G$8*C19)+G$9</f>
        <v>130.40909090909091</v>
      </c>
    </row>
    <row r="20" spans="3:4" x14ac:dyDescent="0.3">
      <c r="C20" s="9">
        <v>15</v>
      </c>
      <c r="D20" s="14">
        <f t="shared" si="0"/>
        <v>133.36363636363637</v>
      </c>
    </row>
    <row r="21" spans="3:4" x14ac:dyDescent="0.3">
      <c r="C21" s="7">
        <v>16</v>
      </c>
      <c r="D21" s="14">
        <f t="shared" si="0"/>
        <v>136.31818181818181</v>
      </c>
    </row>
    <row r="22" spans="3:4" x14ac:dyDescent="0.3">
      <c r="C22" s="9">
        <v>17</v>
      </c>
      <c r="D22" s="14">
        <f t="shared" si="0"/>
        <v>139.27272727272728</v>
      </c>
    </row>
    <row r="23" spans="3:4" x14ac:dyDescent="0.3">
      <c r="C23" s="7">
        <v>18</v>
      </c>
      <c r="D23" s="14">
        <f t="shared" si="0"/>
        <v>142.22727272727272</v>
      </c>
    </row>
    <row r="24" spans="3:4" x14ac:dyDescent="0.3">
      <c r="C24" s="9">
        <v>19</v>
      </c>
      <c r="D24" s="14">
        <f t="shared" si="0"/>
        <v>145.18181818181819</v>
      </c>
    </row>
    <row r="25" spans="3:4" x14ac:dyDescent="0.3">
      <c r="C25" s="7">
        <v>20</v>
      </c>
      <c r="D25" s="14">
        <f t="shared" si="0"/>
        <v>148.13636363636363</v>
      </c>
    </row>
    <row r="26" spans="3:4" x14ac:dyDescent="0.3">
      <c r="C26" s="9">
        <v>21</v>
      </c>
      <c r="D26" s="14">
        <f t="shared" si="0"/>
        <v>151.09090909090909</v>
      </c>
    </row>
    <row r="27" spans="3:4" x14ac:dyDescent="0.3">
      <c r="C27" s="7">
        <v>22</v>
      </c>
      <c r="D27" s="14">
        <f t="shared" si="0"/>
        <v>154.04545454545456</v>
      </c>
    </row>
    <row r="28" spans="3:4" x14ac:dyDescent="0.3">
      <c r="C28" s="9">
        <v>23</v>
      </c>
      <c r="D28" s="14">
        <f t="shared" si="0"/>
        <v>157</v>
      </c>
    </row>
    <row r="29" spans="3:4" x14ac:dyDescent="0.3">
      <c r="C29" s="7">
        <v>24</v>
      </c>
      <c r="D29" s="14">
        <f t="shared" si="0"/>
        <v>159.95454545454544</v>
      </c>
    </row>
    <row r="30" spans="3:4" x14ac:dyDescent="0.3">
      <c r="C30" s="9">
        <v>25</v>
      </c>
      <c r="D30" s="14">
        <f t="shared" si="0"/>
        <v>162.90909090909091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ABE8-F081-4877-AF65-E36CC58DFD42}">
  <dimension ref="A1:D21"/>
  <sheetViews>
    <sheetView zoomScaleNormal="100" workbookViewId="0">
      <selection activeCell="D17" sqref="D17:D21"/>
    </sheetView>
  </sheetViews>
  <sheetFormatPr defaultRowHeight="15" x14ac:dyDescent="0.25"/>
  <cols>
    <col min="1" max="1" width="2.28515625" customWidth="1"/>
    <col min="2" max="2" width="8.85546875" style="1"/>
    <col min="3" max="3" width="13.140625" style="1" customWidth="1"/>
    <col min="4" max="4" width="12.28515625" customWidth="1"/>
    <col min="5" max="5" width="16.5703125" customWidth="1"/>
  </cols>
  <sheetData>
    <row r="1" spans="1:4" s="10" customFormat="1" ht="32.450000000000003" customHeight="1" x14ac:dyDescent="0.25">
      <c r="A1" s="10" t="s">
        <v>5</v>
      </c>
    </row>
    <row r="4" spans="1:4" ht="18.75" x14ac:dyDescent="0.3">
      <c r="C4" s="6" t="s">
        <v>0</v>
      </c>
      <c r="D4" s="6" t="s">
        <v>1</v>
      </c>
    </row>
    <row r="5" spans="1:4" ht="18.75" x14ac:dyDescent="0.3">
      <c r="C5" s="7">
        <v>1</v>
      </c>
      <c r="D5" s="7">
        <v>92</v>
      </c>
    </row>
    <row r="6" spans="1:4" ht="18.75" x14ac:dyDescent="0.3">
      <c r="C6" s="7">
        <v>2</v>
      </c>
      <c r="D6" s="7">
        <v>93</v>
      </c>
    </row>
    <row r="7" spans="1:4" ht="18.75" x14ac:dyDescent="0.3">
      <c r="C7" s="7">
        <v>3</v>
      </c>
      <c r="D7" s="7">
        <v>91</v>
      </c>
    </row>
    <row r="8" spans="1:4" ht="18.75" x14ac:dyDescent="0.3">
      <c r="C8" s="7">
        <v>4</v>
      </c>
      <c r="D8" s="7">
        <v>103</v>
      </c>
    </row>
    <row r="9" spans="1:4" ht="18.75" x14ac:dyDescent="0.3">
      <c r="C9" s="7">
        <v>5</v>
      </c>
      <c r="D9" s="7">
        <v>107</v>
      </c>
    </row>
    <row r="10" spans="1:4" ht="18.75" x14ac:dyDescent="0.3">
      <c r="C10" s="7">
        <v>6</v>
      </c>
      <c r="D10" s="7">
        <v>109</v>
      </c>
    </row>
    <row r="11" spans="1:4" ht="18.75" x14ac:dyDescent="0.3">
      <c r="C11" s="7">
        <v>7</v>
      </c>
      <c r="D11" s="7">
        <v>116</v>
      </c>
    </row>
    <row r="12" spans="1:4" ht="18.75" x14ac:dyDescent="0.3">
      <c r="C12" s="7">
        <v>8</v>
      </c>
      <c r="D12" s="7">
        <v>114</v>
      </c>
    </row>
    <row r="13" spans="1:4" ht="18.75" x14ac:dyDescent="0.3">
      <c r="C13" s="7">
        <v>9</v>
      </c>
      <c r="D13" s="7">
        <v>113</v>
      </c>
    </row>
    <row r="14" spans="1:4" ht="18.75" x14ac:dyDescent="0.3">
      <c r="C14" s="7">
        <v>10</v>
      </c>
      <c r="D14" s="7">
        <v>121</v>
      </c>
    </row>
    <row r="15" spans="1:4" ht="18.75" x14ac:dyDescent="0.3">
      <c r="C15" s="7">
        <v>11</v>
      </c>
      <c r="D15" s="7">
        <v>117</v>
      </c>
    </row>
    <row r="16" spans="1:4" ht="18.75" x14ac:dyDescent="0.3">
      <c r="C16" s="7">
        <v>12</v>
      </c>
      <c r="D16" s="7">
        <v>123</v>
      </c>
    </row>
    <row r="17" spans="3:4" ht="18.75" x14ac:dyDescent="0.3">
      <c r="C17" s="7">
        <v>13</v>
      </c>
      <c r="D17" s="9">
        <f>_xlfn.FORECAST.LINEAR(C17, D$5:D16, C$5:C16)</f>
        <v>127.45454545454545</v>
      </c>
    </row>
    <row r="18" spans="3:4" ht="18.75" x14ac:dyDescent="0.3">
      <c r="C18" s="7">
        <v>14</v>
      </c>
      <c r="D18" s="9">
        <f>_xlfn.FORECAST.LINEAR(C18, D$5:D17, C$5:C17)</f>
        <v>130.40909090909093</v>
      </c>
    </row>
    <row r="19" spans="3:4" ht="18.75" x14ac:dyDescent="0.3">
      <c r="C19" s="7">
        <v>15</v>
      </c>
      <c r="D19" s="9">
        <f>_xlfn.FORECAST.LINEAR(C19, D$5:D18, C$5:C18)</f>
        <v>133.36363636363637</v>
      </c>
    </row>
    <row r="20" spans="3:4" ht="18.75" x14ac:dyDescent="0.3">
      <c r="C20" s="7">
        <v>16</v>
      </c>
      <c r="D20" s="9">
        <f>_xlfn.FORECAST.LINEAR(C20, D$5:D19, C$5:C19)</f>
        <v>136.31818181818184</v>
      </c>
    </row>
    <row r="21" spans="3:4" ht="18.75" x14ac:dyDescent="0.3">
      <c r="C21" s="7">
        <v>17</v>
      </c>
      <c r="D21" s="9">
        <f>_xlfn.FORECAST.LINEAR(C21, D$5:D20, C$5:C20)</f>
        <v>139.27272727272728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8AC7-0371-45C3-B817-6C495277A4F9}">
  <dimension ref="A1:D27"/>
  <sheetViews>
    <sheetView zoomScaleNormal="100" workbookViewId="0">
      <selection activeCell="D23" sqref="D23"/>
    </sheetView>
  </sheetViews>
  <sheetFormatPr defaultRowHeight="15" x14ac:dyDescent="0.25"/>
  <cols>
    <col min="1" max="1" width="2.28515625" customWidth="1"/>
    <col min="2" max="2" width="8.85546875" style="1"/>
    <col min="3" max="3" width="13.140625" style="1" customWidth="1"/>
    <col min="4" max="4" width="12.28515625" customWidth="1"/>
    <col min="5" max="5" width="16.5703125" customWidth="1"/>
  </cols>
  <sheetData>
    <row r="1" spans="1:4" s="10" customFormat="1" ht="32.450000000000003" customHeight="1" x14ac:dyDescent="0.25">
      <c r="A1" s="10" t="s">
        <v>19</v>
      </c>
    </row>
    <row r="3" spans="1:4" x14ac:dyDescent="0.25">
      <c r="C3" s="25" t="s">
        <v>23</v>
      </c>
      <c r="D3" s="25" t="s">
        <v>24</v>
      </c>
    </row>
    <row r="4" spans="1:4" x14ac:dyDescent="0.25">
      <c r="C4" s="2" t="s">
        <v>2</v>
      </c>
      <c r="D4" s="2" t="s">
        <v>3</v>
      </c>
    </row>
    <row r="5" spans="1:4" x14ac:dyDescent="0.25">
      <c r="C5" s="3">
        <v>43101</v>
      </c>
      <c r="D5" s="23">
        <v>236111</v>
      </c>
    </row>
    <row r="6" spans="1:4" x14ac:dyDescent="0.25">
      <c r="C6" s="3">
        <v>43132</v>
      </c>
      <c r="D6" s="23">
        <v>253678</v>
      </c>
    </row>
    <row r="7" spans="1:4" x14ac:dyDescent="0.25">
      <c r="C7" s="3">
        <v>43160</v>
      </c>
      <c r="D7" s="23">
        <v>267121</v>
      </c>
    </row>
    <row r="8" spans="1:4" x14ac:dyDescent="0.25">
      <c r="C8" s="3">
        <v>43191</v>
      </c>
      <c r="D8" s="23">
        <v>301110</v>
      </c>
    </row>
    <row r="9" spans="1:4" x14ac:dyDescent="0.25">
      <c r="C9" s="3">
        <v>43221</v>
      </c>
      <c r="D9" s="23">
        <v>305652</v>
      </c>
    </row>
    <row r="10" spans="1:4" x14ac:dyDescent="0.25">
      <c r="C10" s="3">
        <v>43252</v>
      </c>
      <c r="D10" s="23">
        <v>312769</v>
      </c>
    </row>
    <row r="11" spans="1:4" x14ac:dyDescent="0.25">
      <c r="C11" s="3">
        <v>43282</v>
      </c>
      <c r="D11" s="23">
        <v>320882</v>
      </c>
    </row>
    <row r="12" spans="1:4" x14ac:dyDescent="0.25">
      <c r="C12" s="3">
        <v>43313</v>
      </c>
      <c r="D12" s="23">
        <v>324900</v>
      </c>
    </row>
    <row r="13" spans="1:4" x14ac:dyDescent="0.25">
      <c r="C13" s="3">
        <v>43344</v>
      </c>
      <c r="D13" s="23">
        <v>333872</v>
      </c>
    </row>
    <row r="14" spans="1:4" x14ac:dyDescent="0.25">
      <c r="C14" s="3">
        <v>43374</v>
      </c>
      <c r="D14" s="23">
        <v>341288</v>
      </c>
    </row>
    <row r="15" spans="1:4" x14ac:dyDescent="0.25">
      <c r="C15" s="3">
        <v>43405</v>
      </c>
      <c r="D15" s="23">
        <v>370870</v>
      </c>
    </row>
    <row r="16" spans="1:4" x14ac:dyDescent="0.25">
      <c r="C16" s="3">
        <v>43435</v>
      </c>
      <c r="D16" s="23">
        <v>391903</v>
      </c>
    </row>
    <row r="17" spans="3:4" x14ac:dyDescent="0.25">
      <c r="C17" s="3">
        <v>43466</v>
      </c>
      <c r="D17" s="23">
        <v>395912</v>
      </c>
    </row>
    <row r="18" spans="3:4" x14ac:dyDescent="0.25">
      <c r="C18" s="3">
        <v>43497</v>
      </c>
      <c r="D18" s="23">
        <v>401226</v>
      </c>
    </row>
    <row r="19" spans="3:4" x14ac:dyDescent="0.25">
      <c r="C19" s="3">
        <v>43525</v>
      </c>
      <c r="D19" s="23">
        <v>411234</v>
      </c>
    </row>
    <row r="20" spans="3:4" x14ac:dyDescent="0.25">
      <c r="C20" s="3">
        <v>43556</v>
      </c>
      <c r="D20" s="23">
        <v>445600</v>
      </c>
    </row>
    <row r="21" spans="3:4" x14ac:dyDescent="0.25">
      <c r="C21" s="3">
        <v>43586</v>
      </c>
      <c r="D21" s="23">
        <v>457239</v>
      </c>
    </row>
    <row r="22" spans="3:4" x14ac:dyDescent="0.25">
      <c r="C22" s="3">
        <v>43617</v>
      </c>
      <c r="D22" s="23">
        <v>465110</v>
      </c>
    </row>
    <row r="23" spans="3:4" x14ac:dyDescent="0.25">
      <c r="C23" s="3">
        <v>43647</v>
      </c>
      <c r="D23" s="22">
        <f>_xlfn.FORECAST.LINEAR(C23, Sales_Data, Sales_Date)</f>
        <v>473546.64155190811</v>
      </c>
    </row>
    <row r="24" spans="3:4" x14ac:dyDescent="0.25">
      <c r="C24" s="3">
        <v>43678</v>
      </c>
      <c r="D24" s="22">
        <f>_xlfn.FORECAST.LINEAR(C24, D$5:D23, C$5:C23)</f>
        <v>486614.33069932833</v>
      </c>
    </row>
    <row r="25" spans="3:4" x14ac:dyDescent="0.25">
      <c r="C25" s="3">
        <v>43709</v>
      </c>
      <c r="D25" s="22">
        <f>_xlfn.FORECAST.LINEAR(C25, D$5:D24, C$5:C24)</f>
        <v>499682.01984674856</v>
      </c>
    </row>
    <row r="26" spans="3:4" x14ac:dyDescent="0.25">
      <c r="C26" s="3">
        <v>43739</v>
      </c>
      <c r="D26" s="22">
        <f>_xlfn.FORECAST.LINEAR(C26, D$5:D25, C$5:C25)</f>
        <v>512328.17063457146</v>
      </c>
    </row>
    <row r="27" spans="3:4" x14ac:dyDescent="0.25">
      <c r="C27" s="3">
        <v>43770</v>
      </c>
      <c r="D27" s="22">
        <f>_xlfn.FORECAST.LINEAR(C27, D$5:D26, C$5:C26)</f>
        <v>525395.85978199542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9DE4-2B41-4CE9-A57C-E0DB51AF8606}">
  <dimension ref="A1:D21"/>
  <sheetViews>
    <sheetView zoomScaleNormal="100" workbookViewId="0">
      <selection activeCell="D17" sqref="D17:D21"/>
    </sheetView>
  </sheetViews>
  <sheetFormatPr defaultRowHeight="15" x14ac:dyDescent="0.25"/>
  <cols>
    <col min="1" max="1" width="2.28515625" customWidth="1"/>
    <col min="2" max="2" width="8.85546875" style="1"/>
    <col min="3" max="3" width="13.140625" style="1" customWidth="1"/>
    <col min="4" max="4" width="14" customWidth="1"/>
    <col min="5" max="5" width="16.5703125" customWidth="1"/>
  </cols>
  <sheetData>
    <row r="1" spans="1:4" s="11" customFormat="1" ht="32.450000000000003" customHeight="1" x14ac:dyDescent="0.25">
      <c r="A1" s="11" t="s">
        <v>6</v>
      </c>
    </row>
    <row r="4" spans="1:4" ht="18.75" x14ac:dyDescent="0.3">
      <c r="C4" s="6" t="s">
        <v>0</v>
      </c>
      <c r="D4" s="6" t="s">
        <v>1</v>
      </c>
    </row>
    <row r="5" spans="1:4" ht="18.75" x14ac:dyDescent="0.3">
      <c r="C5" s="7">
        <v>1</v>
      </c>
      <c r="D5" s="7">
        <v>92</v>
      </c>
    </row>
    <row r="6" spans="1:4" ht="18.75" x14ac:dyDescent="0.3">
      <c r="C6" s="7">
        <v>2</v>
      </c>
      <c r="D6" s="7">
        <v>93</v>
      </c>
    </row>
    <row r="7" spans="1:4" ht="18.75" x14ac:dyDescent="0.3">
      <c r="C7" s="7">
        <v>3</v>
      </c>
      <c r="D7" s="7">
        <v>91</v>
      </c>
    </row>
    <row r="8" spans="1:4" ht="18.75" x14ac:dyDescent="0.3">
      <c r="C8" s="7">
        <v>4</v>
      </c>
      <c r="D8" s="7">
        <v>103</v>
      </c>
    </row>
    <row r="9" spans="1:4" ht="18.75" x14ac:dyDescent="0.3">
      <c r="C9" s="7">
        <v>5</v>
      </c>
      <c r="D9" s="7">
        <v>107</v>
      </c>
    </row>
    <row r="10" spans="1:4" ht="18.75" x14ac:dyDescent="0.3">
      <c r="C10" s="7">
        <v>6</v>
      </c>
      <c r="D10" s="7">
        <v>109</v>
      </c>
    </row>
    <row r="11" spans="1:4" ht="18.75" x14ac:dyDescent="0.3">
      <c r="C11" s="7">
        <v>7</v>
      </c>
      <c r="D11" s="7">
        <v>116</v>
      </c>
    </row>
    <row r="12" spans="1:4" ht="18.75" x14ac:dyDescent="0.3">
      <c r="C12" s="7">
        <v>8</v>
      </c>
      <c r="D12" s="7">
        <v>114</v>
      </c>
    </row>
    <row r="13" spans="1:4" ht="18.75" x14ac:dyDescent="0.3">
      <c r="C13" s="7">
        <v>9</v>
      </c>
      <c r="D13" s="7">
        <v>113</v>
      </c>
    </row>
    <row r="14" spans="1:4" ht="18.75" x14ac:dyDescent="0.3">
      <c r="C14" s="7">
        <v>10</v>
      </c>
      <c r="D14" s="7">
        <v>121</v>
      </c>
    </row>
    <row r="15" spans="1:4" ht="18.75" x14ac:dyDescent="0.3">
      <c r="C15" s="7">
        <v>11</v>
      </c>
      <c r="D15" s="7">
        <v>117</v>
      </c>
    </row>
    <row r="16" spans="1:4" ht="18.75" x14ac:dyDescent="0.3">
      <c r="C16" s="7">
        <v>12</v>
      </c>
      <c r="D16" s="7">
        <v>123</v>
      </c>
    </row>
    <row r="17" spans="3:4" ht="18.75" x14ac:dyDescent="0.3">
      <c r="C17" s="7">
        <v>13</v>
      </c>
      <c r="D17" s="9" cm="1">
        <f t="array" ref="D17">TREND(D$5:D16, C$5:C16, C17, TRUE)</f>
        <v>127.45454545454547</v>
      </c>
    </row>
    <row r="18" spans="3:4" ht="18.75" x14ac:dyDescent="0.3">
      <c r="C18" s="7">
        <v>14</v>
      </c>
      <c r="D18" s="9" cm="1">
        <f t="array" ref="D18">TREND(D$5:D17, C$5:C17, C18, TRUE)</f>
        <v>130.40909090909093</v>
      </c>
    </row>
    <row r="19" spans="3:4" ht="18.75" x14ac:dyDescent="0.3">
      <c r="C19" s="7">
        <v>15</v>
      </c>
      <c r="D19" s="9" cm="1">
        <f t="array" ref="D19">TREND(D$5:D18, C$5:C18, C19, TRUE)</f>
        <v>133.36363636363637</v>
      </c>
    </row>
    <row r="20" spans="3:4" ht="18.75" x14ac:dyDescent="0.3">
      <c r="C20" s="7">
        <v>16</v>
      </c>
      <c r="D20" s="9" cm="1">
        <f t="array" ref="D20">TREND(D$5:D19, C$5:C19, C20, TRUE)</f>
        <v>136.31818181818184</v>
      </c>
    </row>
    <row r="21" spans="3:4" ht="18.75" x14ac:dyDescent="0.3">
      <c r="C21" s="7">
        <v>17</v>
      </c>
      <c r="D21" s="9" cm="1">
        <f t="array" ref="D21">TREND(D$5:D20, C$5:C20, C21, TRUE)</f>
        <v>139.27272727272731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25FB-5073-4737-90C4-5C7055132079}">
  <dimension ref="A1:F21"/>
  <sheetViews>
    <sheetView zoomScaleNormal="100" workbookViewId="0">
      <selection activeCell="A5" sqref="A5:XFD10"/>
    </sheetView>
  </sheetViews>
  <sheetFormatPr defaultRowHeight="15" outlineLevelRow="1" x14ac:dyDescent="0.25"/>
  <cols>
    <col min="1" max="1" width="2.28515625" customWidth="1"/>
    <col min="2" max="2" width="8.85546875" style="1"/>
    <col min="3" max="3" width="13.140625" style="1" customWidth="1"/>
    <col min="4" max="4" width="17.85546875" customWidth="1"/>
    <col min="5" max="5" width="19.28515625" customWidth="1"/>
    <col min="6" max="6" width="14.42578125" customWidth="1"/>
  </cols>
  <sheetData>
    <row r="1" spans="1:6" s="11" customFormat="1" ht="32.450000000000003" customHeight="1" x14ac:dyDescent="0.25">
      <c r="A1" s="11" t="s">
        <v>18</v>
      </c>
    </row>
    <row r="4" spans="1:6" ht="18.75" x14ac:dyDescent="0.3">
      <c r="C4" s="6" t="s">
        <v>8</v>
      </c>
      <c r="D4" s="6" t="s">
        <v>15</v>
      </c>
      <c r="E4" s="6" t="s">
        <v>16</v>
      </c>
      <c r="F4" s="6" t="s">
        <v>17</v>
      </c>
    </row>
    <row r="5" spans="1:6" ht="18.75" outlineLevel="1" x14ac:dyDescent="0.3">
      <c r="C5" s="7" t="s">
        <v>9</v>
      </c>
      <c r="D5" s="7">
        <v>20</v>
      </c>
      <c r="E5" s="16">
        <v>5</v>
      </c>
      <c r="F5" s="17">
        <f t="shared" ref="F5:F10" si="0">D5*E5</f>
        <v>100</v>
      </c>
    </row>
    <row r="6" spans="1:6" ht="18.75" outlineLevel="1" x14ac:dyDescent="0.3">
      <c r="C6" s="7" t="s">
        <v>10</v>
      </c>
      <c r="D6" s="7">
        <v>30</v>
      </c>
      <c r="E6" s="16">
        <v>6</v>
      </c>
      <c r="F6" s="17">
        <f t="shared" si="0"/>
        <v>180</v>
      </c>
    </row>
    <row r="7" spans="1:6" ht="18.75" outlineLevel="1" x14ac:dyDescent="0.3">
      <c r="C7" s="7" t="s">
        <v>11</v>
      </c>
      <c r="D7" s="7">
        <v>15</v>
      </c>
      <c r="E7" s="16">
        <v>4.5</v>
      </c>
      <c r="F7" s="17">
        <f t="shared" si="0"/>
        <v>67.5</v>
      </c>
    </row>
    <row r="8" spans="1:6" ht="18.75" outlineLevel="1" x14ac:dyDescent="0.3">
      <c r="C8" s="7" t="s">
        <v>12</v>
      </c>
      <c r="D8" s="7">
        <v>50</v>
      </c>
      <c r="E8" s="16">
        <v>4</v>
      </c>
      <c r="F8" s="17">
        <f t="shared" si="0"/>
        <v>200</v>
      </c>
    </row>
    <row r="9" spans="1:6" ht="18.75" outlineLevel="1" x14ac:dyDescent="0.3">
      <c r="C9" s="7" t="s">
        <v>13</v>
      </c>
      <c r="D9" s="7">
        <v>35</v>
      </c>
      <c r="E9" s="16">
        <v>3</v>
      </c>
      <c r="F9" s="17">
        <f t="shared" si="0"/>
        <v>105</v>
      </c>
    </row>
    <row r="10" spans="1:6" ht="18.75" outlineLevel="1" x14ac:dyDescent="0.3">
      <c r="C10" s="7" t="s">
        <v>14</v>
      </c>
      <c r="D10" s="7">
        <v>45</v>
      </c>
      <c r="E10" s="16">
        <v>3.5</v>
      </c>
      <c r="F10" s="17">
        <f t="shared" si="0"/>
        <v>157.5</v>
      </c>
    </row>
    <row r="11" spans="1:6" ht="18.75" x14ac:dyDescent="0.3">
      <c r="C11" s="18" t="s">
        <v>17</v>
      </c>
      <c r="D11" s="19"/>
      <c r="E11" s="20"/>
      <c r="F11" s="21">
        <f>SUM(F5:F10)</f>
        <v>810</v>
      </c>
    </row>
    <row r="12" spans="1:6" ht="18.75" x14ac:dyDescent="0.3">
      <c r="C12" s="7"/>
      <c r="D12" s="7"/>
    </row>
    <row r="13" spans="1:6" ht="18.75" x14ac:dyDescent="0.3">
      <c r="C13" s="7"/>
      <c r="D13" s="7"/>
    </row>
    <row r="14" spans="1:6" ht="18.75" x14ac:dyDescent="0.3">
      <c r="C14" s="7"/>
      <c r="D14" s="7"/>
    </row>
    <row r="15" spans="1:6" ht="18.75" x14ac:dyDescent="0.3">
      <c r="C15" s="7"/>
      <c r="D15" s="7"/>
    </row>
    <row r="16" spans="1:6" ht="18.75" x14ac:dyDescent="0.3">
      <c r="C16" s="7"/>
      <c r="D16" s="7"/>
    </row>
    <row r="17" spans="3:4" ht="18.75" x14ac:dyDescent="0.3">
      <c r="C17" s="7"/>
      <c r="D17" s="9"/>
    </row>
    <row r="18" spans="3:4" ht="18.75" x14ac:dyDescent="0.3">
      <c r="C18" s="7"/>
      <c r="D18" s="9"/>
    </row>
    <row r="19" spans="3:4" ht="18.75" x14ac:dyDescent="0.3">
      <c r="C19" s="7"/>
      <c r="D19" s="9"/>
    </row>
    <row r="20" spans="3:4" ht="18.75" x14ac:dyDescent="0.3">
      <c r="C20" s="7"/>
      <c r="D20" s="9"/>
    </row>
    <row r="21" spans="3:4" ht="18.75" x14ac:dyDescent="0.3">
      <c r="C21" s="7"/>
      <c r="D2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5E12-610E-4F67-BEBE-C081478076D5}">
  <dimension ref="A1:C22"/>
  <sheetViews>
    <sheetView zoomScale="110" zoomScaleNormal="110" workbookViewId="0">
      <selection activeCell="C17" sqref="C17"/>
    </sheetView>
  </sheetViews>
  <sheetFormatPr defaultRowHeight="15" x14ac:dyDescent="0.25"/>
  <cols>
    <col min="1" max="1" width="2.28515625" customWidth="1"/>
    <col min="2" max="2" width="13.85546875" style="1" customWidth="1"/>
    <col min="3" max="3" width="16.140625" style="1" customWidth="1"/>
  </cols>
  <sheetData>
    <row r="1" spans="1:3" s="12" customFormat="1" ht="32.450000000000003" customHeight="1" x14ac:dyDescent="0.25">
      <c r="A1" s="12" t="s">
        <v>7</v>
      </c>
    </row>
    <row r="4" spans="1:3" x14ac:dyDescent="0.25">
      <c r="B4" s="2" t="s">
        <v>2</v>
      </c>
      <c r="C4" s="2" t="s">
        <v>3</v>
      </c>
    </row>
    <row r="5" spans="1:3" x14ac:dyDescent="0.25">
      <c r="B5" s="3">
        <v>43101</v>
      </c>
      <c r="C5" s="4">
        <v>236111</v>
      </c>
    </row>
    <row r="6" spans="1:3" x14ac:dyDescent="0.25">
      <c r="B6" s="3">
        <v>43132</v>
      </c>
      <c r="C6" s="4">
        <v>253678</v>
      </c>
    </row>
    <row r="7" spans="1:3" x14ac:dyDescent="0.25">
      <c r="B7" s="3">
        <v>43160</v>
      </c>
      <c r="C7" s="4">
        <v>267121</v>
      </c>
    </row>
    <row r="8" spans="1:3" x14ac:dyDescent="0.25">
      <c r="B8" s="3">
        <v>43191</v>
      </c>
      <c r="C8" s="4">
        <v>301110</v>
      </c>
    </row>
    <row r="9" spans="1:3" x14ac:dyDescent="0.25">
      <c r="B9" s="3">
        <v>43221</v>
      </c>
      <c r="C9" s="4">
        <v>305652</v>
      </c>
    </row>
    <row r="10" spans="1:3" x14ac:dyDescent="0.25">
      <c r="B10" s="3">
        <v>43252</v>
      </c>
      <c r="C10" s="4">
        <v>312769</v>
      </c>
    </row>
    <row r="11" spans="1:3" x14ac:dyDescent="0.25">
      <c r="B11" s="3">
        <v>43282</v>
      </c>
      <c r="C11" s="4">
        <v>320882</v>
      </c>
    </row>
    <row r="12" spans="1:3" x14ac:dyDescent="0.25">
      <c r="B12" s="3">
        <v>43313</v>
      </c>
      <c r="C12" s="4">
        <v>324900</v>
      </c>
    </row>
    <row r="13" spans="1:3" x14ac:dyDescent="0.25">
      <c r="B13" s="3">
        <v>43344</v>
      </c>
      <c r="C13" s="4">
        <v>333872</v>
      </c>
    </row>
    <row r="14" spans="1:3" x14ac:dyDescent="0.25">
      <c r="B14" s="3">
        <v>43374</v>
      </c>
      <c r="C14" s="4">
        <v>341288</v>
      </c>
    </row>
    <row r="15" spans="1:3" x14ac:dyDescent="0.25">
      <c r="B15" s="3">
        <v>43405</v>
      </c>
      <c r="C15" s="4">
        <v>370870</v>
      </c>
    </row>
    <row r="16" spans="1:3" x14ac:dyDescent="0.25">
      <c r="B16" s="3">
        <v>43435</v>
      </c>
      <c r="C16" s="4">
        <v>391903</v>
      </c>
    </row>
    <row r="17" spans="2:3" x14ac:dyDescent="0.25">
      <c r="B17" s="3">
        <v>43466</v>
      </c>
      <c r="C17" s="4">
        <v>395912</v>
      </c>
    </row>
    <row r="18" spans="2:3" x14ac:dyDescent="0.25">
      <c r="B18" s="3">
        <v>43497</v>
      </c>
      <c r="C18" s="4">
        <v>401226</v>
      </c>
    </row>
    <row r="19" spans="2:3" x14ac:dyDescent="0.25">
      <c r="B19" s="3">
        <v>43525</v>
      </c>
      <c r="C19" s="4">
        <v>411234</v>
      </c>
    </row>
    <row r="20" spans="2:3" x14ac:dyDescent="0.25">
      <c r="B20" s="3">
        <v>43556</v>
      </c>
      <c r="C20" s="4">
        <v>445600</v>
      </c>
    </row>
    <row r="21" spans="2:3" x14ac:dyDescent="0.25">
      <c r="B21" s="3">
        <v>43586</v>
      </c>
      <c r="C21" s="4">
        <v>457239</v>
      </c>
    </row>
    <row r="22" spans="2:3" x14ac:dyDescent="0.25">
      <c r="B22" s="3">
        <v>43617</v>
      </c>
      <c r="C22" s="4">
        <v>465110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SLOPE INTERCEPT</vt:lpstr>
      <vt:lpstr>FORECAST.LINEAR</vt:lpstr>
      <vt:lpstr>FORECAST NAMED RANGE</vt:lpstr>
      <vt:lpstr>TREND</vt:lpstr>
      <vt:lpstr>ARRAY</vt:lpstr>
      <vt:lpstr>ONE-CLICK FORECASTING</vt:lpstr>
      <vt:lpstr>Answer</vt:lpstr>
      <vt:lpstr>Known_Ys</vt:lpstr>
      <vt:lpstr>Sales_Data</vt:lpstr>
      <vt:lpstr>Sales_Date</vt:lpstr>
      <vt:lpstr>Solve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Regression Functions 1</dc:title>
  <dc:creator>Toby Arnott</dc:creator>
  <cp:lastModifiedBy>Gary Yu</cp:lastModifiedBy>
  <dcterms:created xsi:type="dcterms:W3CDTF">2013-04-29T13:11:47Z</dcterms:created>
  <dcterms:modified xsi:type="dcterms:W3CDTF">2024-09-30T22:57:38Z</dcterms:modified>
</cp:coreProperties>
</file>